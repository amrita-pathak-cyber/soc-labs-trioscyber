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mrit\Trios Cyber Internship\"/>
    </mc:Choice>
  </mc:AlternateContent>
  <xr:revisionPtr revIDLastSave="0" documentId="13_ncr:1_{A20BCE53-70DB-4366-B62D-F736CFE2A66B}" xr6:coauthVersionLast="47" xr6:coauthVersionMax="47" xr10:uidLastSave="{00000000-0000-0000-0000-000000000000}"/>
  <bookViews>
    <workbookView xWindow="-108" yWindow="-108" windowWidth="23256" windowHeight="12456" tabRatio="500" xr2:uid="{00000000-000D-0000-FFFF-FFFF00000000}"/>
  </bookViews>
  <sheets>
    <sheet name="Alert Prioritization" sheetId="2" r:id="rId1"/>
    <sheet name="Scoring Reference" sheetId="1" r:id="rId2"/>
    <sheet name="Evidence Index" sheetId="3" r:id="rId3"/>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18" i="2" l="1"/>
  <c r="D17" i="2"/>
  <c r="D16" i="2"/>
  <c r="I13" i="2"/>
  <c r="H13" i="2"/>
  <c r="H12" i="2"/>
  <c r="I12" i="2" s="1"/>
  <c r="H11" i="2"/>
  <c r="I11" i="2" s="1"/>
  <c r="H10" i="2"/>
  <c r="I10" i="2" s="1"/>
  <c r="I9" i="2"/>
  <c r="H9" i="2"/>
</calcChain>
</file>

<file path=xl/sharedStrings.xml><?xml version="1.0" encoding="utf-8"?>
<sst xmlns="http://schemas.openxmlformats.org/spreadsheetml/2006/main" count="125" uniqueCount="93">
  <si>
    <t>Alert Prioritization: Scoring Reference</t>
  </si>
  <si>
    <t>Lookup tables the main sheet's formulas reference. Do not delete or reorder.</t>
  </si>
  <si>
    <t>Level</t>
  </si>
  <si>
    <t>Score</t>
  </si>
  <si>
    <t>Low</t>
  </si>
  <si>
    <t>Medium</t>
  </si>
  <si>
    <t>High</t>
  </si>
  <si>
    <t>Total Score</t>
  </si>
  <si>
    <t>Score-Based Priority</t>
  </si>
  <si>
    <t>4 - 6</t>
  </si>
  <si>
    <t>7 - 9</t>
  </si>
  <si>
    <t>10 - 12</t>
  </si>
  <si>
    <t>How the Scoring Works</t>
  </si>
  <si>
    <t>Each of the four factors is rated Low, Medium, or High and converted to a numeric score (1, 2, or 3) using the Level table above. The four scores sum to a Total Score from 4 to 12, which maps to a Score-Based Priority using the band table above. This score is a starting point, not a final verdict: the main sheet includes a separate Final Priority column and an Override column for cases where a single high-confidence indicator justifies escalating above what the additive score alone would suggest.</t>
  </si>
  <si>
    <t>The Underlying Framework, Stated Accurately</t>
  </si>
  <si>
    <t>The standard, widely recognized risk formula is Risk = Likelihood x Impact (see ISO 31000 and NIST SP 800-30). This spreadsheet does not compute that formula directly. It uses a four-factor additive scorecard, inspired by that risk-based thinking but not a literal implementation of it, which is itself a common, practical simplification used in real SOC triage matrices because it is easier to audit and explain than a strict multiplication would be.</t>
  </si>
  <si>
    <t>Why a Fourth Factor (Evidence Quality)</t>
  </si>
  <si>
    <t>Likelihood and Impact answer how bad something could be and how likely it is. They do not ask a separate, prior question SOC triage always has to answer: how much should this specific piece of evidence be trusted at all. Evidence Quality is that check. It is not part of the canonical risk formula; it is a distinct, standard practice in alert triage specifically, applied here as its own scored factor rather than folded into Impact.</t>
  </si>
  <si>
    <t>How the Four Factors Map to Likelihood / Impact</t>
  </si>
  <si>
    <t>Repetition is the Likelihood signal, a repeated or escalating pattern is more likely to reflect deliberate activity than a one-off event. Asset Criticality and User Impact together form the Impact dimension, what is at stake and what has actually happened. Evidence Quality sits outside both, a confidence check applied before either is trusted.</t>
  </si>
  <si>
    <t>Day 15: Alert Prioritization Lab</t>
  </si>
  <si>
    <t>Five simulated alerts drawn from this internship's own lab evidence, scored and prioritized</t>
  </si>
  <si>
    <t>Analyst</t>
  </si>
  <si>
    <t>Amrita Pathak</t>
  </si>
  <si>
    <t>Date</t>
  </si>
  <si>
    <t>18 September 2026</t>
  </si>
  <si>
    <t>Ticket Reference</t>
  </si>
  <si>
    <t>Alert ID</t>
  </si>
  <si>
    <t>Scenario</t>
  </si>
  <si>
    <t>Source Evidence</t>
  </si>
  <si>
    <t>Asset
Criticality</t>
  </si>
  <si>
    <t>Repetition</t>
  </si>
  <si>
    <t>User
Impact</t>
  </si>
  <si>
    <t>Evidence
Quality</t>
  </si>
  <si>
    <t>Total
Score</t>
  </si>
  <si>
    <t>Score-Based
Priority</t>
  </si>
  <si>
    <t>Final
Priority</t>
  </si>
  <si>
    <t>Override
Applied</t>
  </si>
  <si>
    <t>Justification</t>
  </si>
  <si>
    <t>ALERT-01</t>
  </si>
  <si>
    <t>Windows workstation: 4 failed logon attempts followed by 1 successful logon, same account, same local console</t>
  </si>
  <si>
    <t>Windows Security Event Log: Events 4625 (x4) and 4624 (x1); host DESKTOP-AUHDFVM; account CyberAmy. See Evidence Index, row 1.</t>
  </si>
  <si>
    <t>No</t>
  </si>
  <si>
    <t>Isolated local logon endpoint, single short burst of failures immediately followed by correct credentials, no lockout, no unauthorized access. SubStatus 0xc000006a confirms simple wrong-password entry, not username guessing. Fully explained by ordinary human error.</t>
  </si>
  <si>
    <t>ALERT-02</t>
  </si>
  <si>
    <t>Linux workstation: 1 failed sudo authentication followed by 1 successful authentication and 1 cached-credential session</t>
  </si>
  <si>
    <t>Linux systemd journal (journalctl -t sudo): pam_unix auth failure and 2x session opened; host kali; account kali. See Evidence Index, row 2.</t>
  </si>
  <si>
    <t>Single rejected attempt on a personal lab VM, resolved immediately with no lockout (sudo does not lock accounts). Cross-verified two independent ways (tail and grep against the journal), leaving no ambiguity about what occurred.</t>
  </si>
  <si>
    <t>ALERT-03</t>
  </si>
  <si>
    <t>Cluster of 3 reconnaissance probes against nonexistent paths (/admin, /wp-login.php, /.env) from a single source, all returning 404</t>
  </si>
  <si>
    <t>Custom Python HTTP server access.log: 3x 404 (/admin, /wp-login.php, /.env); source 192.168.84.128. See Evidence Index, row 3.</t>
  </si>
  <si>
    <t>Recognizable scanning pattern (multiple sensitive-path probes from one source in a short window) against a simulated public-facing test asset. No successful access occurred, all three requests failed outright, which caps the urgency below High despite the clear intent the pattern shows.</t>
  </si>
  <si>
    <t>ALERT-04</t>
  </si>
  <si>
    <t>Single request bearing the user-agent of a known SQL injection tool (sqlmap/1.6), successfully returning 200 on a live application path</t>
  </si>
  <si>
    <t>Custom Python HTTP server access.log: 1x 200, path /about, User-Agent sqlmap/1.6; source 192.168.84.128. See Evidence Index, row 4.</t>
  </si>
  <si>
    <t>Yes</t>
  </si>
  <si>
    <t>The additive score alone lands at Low (6), driven down by low repetition and no confirmed impact. That score understates the real risk: a single request self-identifying as a named, real exploitation tool, successfully reaching live content, is a high-confidence indicator that should not wait for repetition before review. Escalated to High on that single-indicator basis, a deliberate, documented override rather than a silent departure from the scoring model.</t>
  </si>
  <si>
    <t>ALERT-05</t>
  </si>
  <si>
    <t>Sustained brute-force pattern: 11 failed attempts from a single source, primarily targeting root and admin with additional single attempts against three other usernames, cross-validated by manual review and an automated correlation rule</t>
  </si>
  <si>
    <t>Synthetic sample_auth.log (11 failures, source 203.0.113.5); grep/awk/sort frequency analysis; Splunk SPL streamstats correlation rule (5-min window, 3+ threshold). See Evidence Index, row 5.</t>
  </si>
  <si>
    <t>Sustained, high-volume targeting of privileged account names, root (5 of 11 attempts) and admin (3 of 11), with single attempts against three other usernames, from one source, confirmed identically by two independent methods, a hand-worked table and a real Splunk query. No successful login occurred, but the deliberate, repeated targeting of privileged credentials at this volume, with this evidence quality, warrants High regardless.</t>
  </si>
  <si>
    <t>Summary</t>
  </si>
  <si>
    <t>Low priority alerts</t>
  </si>
  <si>
    <t>Medium priority alerts</t>
  </si>
  <si>
    <t>High priority alerts</t>
  </si>
  <si>
    <t>Total Score and Score-Based Priority are computed automatically from the four factor ratings via the lookup tables on the Scoring Reference tab. Final Priority reflects the analyst's actual call; where it differs from the score-based figure, Override Applied is marked Yes and the reason is stated in the Justification column, consistent with how a scoring model is meant to inform judgment, not replace it.</t>
  </si>
  <si>
    <t>Evidence Index</t>
  </si>
  <si>
    <t>Full, standalone detail for every artifact referenced on the Alert Prioritization tab, so no outside context is needed to trace any alert back to its source.</t>
  </si>
  <si>
    <t>#</t>
  </si>
  <si>
    <t>Artifact</t>
  </si>
  <si>
    <t>Environment</t>
  </si>
  <si>
    <t>Key Detail</t>
  </si>
  <si>
    <t>1</t>
  </si>
  <si>
    <t>Windows Security Event Log (.evtx), exported via Event Viewer</t>
  </si>
  <si>
    <t>Windows 11 x64 lab VM, hostname DESKTOP-AUHDFVM, local account CyberAmy</t>
  </si>
  <si>
    <t>4x Event ID 4625 (failed logon), SubStatus 0xc000006a (wrong password), Logon Type 2; 1x Event ID 4624 (successful logon), same Logon Type, IP 127.0.0.1. Failures and success spanned 10 minutes 42 seconds.</t>
  </si>
  <si>
    <t>2</t>
  </si>
  <si>
    <t>systemd journal, queried with journalctl -t sudo</t>
  </si>
  <si>
    <t>Kali Linux VM, hostname kali, local account kali</t>
  </si>
  <si>
    <t>1x pam_unix(sudo:auth): authentication failure; 1x pam_unix(sudo:session): session opened (fresh authentication); 1x session opened using a cached credential, no password re-prompt.</t>
  </si>
  <si>
    <t>3</t>
  </si>
  <si>
    <t>access.log from a custom Python HTTP server built for this exercise</t>
  </si>
  <si>
    <t>Kali Linux VM, hostname kali, server listening on port 8080</t>
  </si>
  <si>
    <t>3 requests to nonexistent paths (/admin, /wp-login.php, /.env), each returning HTTP 404, all from source IP 192.168.84.128 within a short window.</t>
  </si>
  <si>
    <t>4</t>
  </si>
  <si>
    <t>access.log from the same custom Python HTTP server</t>
  </si>
  <si>
    <t>1 request to a valid path (/about), returning HTTP 200, User-Agent header set to sqlmap/1.6 via curl's -A flag, from source IP 192.168.84.128.</t>
  </si>
  <si>
    <t>5</t>
  </si>
  <si>
    <t>sample_auth.log (synthetic SSH-format authentication log, created via bash heredoc) plus a Splunk SPL correlation query</t>
  </si>
  <si>
    <t>Kali Linux VM, hostname kali; Splunk Enterprise 10.4.3 installed locally on the same VM</t>
  </si>
  <si>
    <t>11 failed authentication events from source IP 203.0.113.5: 5 against root, 3 against admin, and single attempts each against three other usernames, spanning under 100 seconds. Manually tallied by hand and independently confirmed with a streamstats-based SPL query using a 3-failures-in-5-minutes threshold; both methods returned an identical result.</t>
  </si>
  <si>
    <t>Every artifact listed here was generated directly by the analyst on a local, isolated VMware lab environment (Kali Linux and Windows 11 VMs) for the purpose of this internship's exercises. Alerts 3, 4, and 5 use data explicitly flagged as synthetic where it was created rather than captured, consistent with each exercise's own data source declaration.</t>
  </si>
  <si>
    <t>SOC-180926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</si>
</sst>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6"/>
      <color rgb="FF1E2A3A"/>
      <name val="Calibri"/>
      <family val="2"/>
    </font>
    <font>
      <i/>
      <sz val="11"/>
      <color rgb="FF5C6F9A"/>
      <name val="Calibri"/>
      <family val="2"/>
    </font>
    <font>
      <b/>
      <sz val="11"/>
      <color rgb="FFFFFFFF"/>
      <name val="Calibri"/>
      <family val="2"/>
    </font>
    <font>
      <sz val="11"/>
      <name val="Calibri"/>
      <family val="2"/>
    </font>
    <font>
      <b/>
      <sz val="11"/>
      <color rgb="FF2E7D32"/>
      <name val="Calibri"/>
      <family val="2"/>
    </font>
    <font>
      <b/>
      <sz val="11"/>
      <color rgb="FFB7791F"/>
      <name val="Calibri"/>
      <family val="2"/>
    </font>
    <font>
      <b/>
      <sz val="11"/>
      <color rgb="FFC0392B"/>
      <name val="Calibri"/>
      <family val="2"/>
    </font>
    <font>
      <b/>
      <sz val="11"/>
      <name val="Calibri"/>
      <family val="2"/>
    </font>
    <font>
      <i/>
      <sz val="10"/>
      <color rgb="FF555555"/>
      <name val="Calibri"/>
      <family val="2"/>
    </font>
    <font>
      <sz val="10"/>
      <name val="Calibri"/>
      <family val="2"/>
    </font>
  </fonts>
  <fills count="5">
    <fill>
      <patternFill patternType="none"/>
    </fill>
    <fill>
      <patternFill patternType="gray125"/>
    </fill>
    <fill>
      <patternFill patternType="solid">
        <fgColor rgb="FF1E2A3A"/>
        <bgColor rgb="FF003366"/>
      </patternFill>
    </fill>
    <fill>
      <patternFill patternType="solid">
        <fgColor rgb="FFF2F4F8"/>
        <bgColor rgb="FFFFFFFF"/>
      </patternFill>
    </fill>
    <fill>
      <patternFill patternType="solid">
        <fgColor rgb="FFFFFFFF"/>
        <bgColor rgb="FFF2F4F8"/>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31">
    <xf numFmtId="0" fontId="0" fillId="0" borderId="0" xfId="0"/>
    <xf numFmtId="0" fontId="4" fillId="0" borderId="0" xfId="0" applyFont="1"/>
    <xf numFmtId="0" fontId="9" fillId="0" borderId="0" xfId="0" applyFont="1" applyAlignment="1">
      <alignment vertical="top" wrapText="1"/>
    </xf>
    <xf numFmtId="0" fontId="2" fillId="0" borderId="0" xfId="0" applyFont="1"/>
    <xf numFmtId="0" fontId="1" fillId="0" borderId="0" xfId="0" applyFont="1"/>
    <xf numFmtId="0" fontId="3" fillId="2" borderId="1" xfId="0" applyFont="1" applyFill="1" applyBorder="1" applyAlignment="1">
      <alignment horizontal="center" vertical="center" wrapText="1"/>
    </xf>
    <xf numFmtId="0" fontId="4" fillId="0" borderId="1" xfId="0" applyFont="1" applyBorder="1"/>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0" xfId="0" applyFont="1"/>
    <xf numFmtId="0" fontId="4" fillId="0" borderId="0" xfId="0" applyFont="1"/>
    <xf numFmtId="0" fontId="8" fillId="3" borderId="1" xfId="0" applyFont="1" applyFill="1" applyBorder="1" applyAlignment="1">
      <alignment horizontal="center" vertical="center" wrapText="1"/>
    </xf>
    <xf numFmtId="0" fontId="4" fillId="3" borderId="1" xfId="0" applyFont="1" applyFill="1" applyBorder="1" applyAlignment="1">
      <alignment vertical="top"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8" fillId="4" borderId="1" xfId="0" applyFont="1" applyFill="1" applyBorder="1" applyAlignment="1">
      <alignment horizontal="center" vertical="center" wrapText="1"/>
    </xf>
    <xf numFmtId="0" fontId="4" fillId="4" borderId="1" xfId="0" applyFont="1" applyFill="1" applyBorder="1" applyAlignment="1">
      <alignment vertical="top"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6"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5" fillId="0" borderId="0" xfId="0" applyFont="1"/>
    <xf numFmtId="0" fontId="6" fillId="0" borderId="0" xfId="0" applyFont="1"/>
    <xf numFmtId="0" fontId="7" fillId="0" borderId="0" xfId="0" applyFont="1"/>
    <xf numFmtId="0" fontId="10"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7791F"/>
      <rgbColor rgb="FF800080"/>
      <rgbColor rgb="FF008080"/>
      <rgbColor rgb="FFC0C0C0"/>
      <rgbColor rgb="FF808080"/>
      <rgbColor rgb="FF9999FF"/>
      <rgbColor rgb="FF993366"/>
      <rgbColor rgb="FFF2F4F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C6F9A"/>
      <rgbColor rgb="FFAAAAAA"/>
      <rgbColor rgb="FF003366"/>
      <rgbColor rgb="FF2E7D32"/>
      <rgbColor rgb="FF003300"/>
      <rgbColor rgb="FF333300"/>
      <rgbColor rgb="FFC0392B"/>
      <rgbColor rgb="FF993366"/>
      <rgbColor rgb="FF555555"/>
      <rgbColor rgb="FF1E2A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23"/>
  <sheetViews>
    <sheetView showGridLines="0" tabSelected="1" zoomScaleNormal="100" workbookViewId="0">
      <selection activeCell="I6" sqref="I6"/>
    </sheetView>
  </sheetViews>
  <sheetFormatPr defaultColWidth="8.6640625" defaultRowHeight="14.4" x14ac:dyDescent="0.3"/>
  <cols>
    <col min="1" max="1" width="18.33203125" customWidth="1"/>
    <col min="2" max="2" width="32" customWidth="1"/>
    <col min="3" max="3" width="28" customWidth="1"/>
    <col min="4" max="7" width="10" customWidth="1"/>
    <col min="8" max="8" width="9" customWidth="1"/>
    <col min="9" max="9" width="12" customWidth="1"/>
    <col min="10" max="11" width="10" customWidth="1"/>
    <col min="12" max="12" width="46" customWidth="1"/>
  </cols>
  <sheetData>
    <row r="1" spans="1:12" ht="21" x14ac:dyDescent="0.4">
      <c r="A1" s="4" t="s">
        <v>20</v>
      </c>
      <c r="B1" s="4"/>
      <c r="C1" s="4"/>
      <c r="D1" s="4"/>
      <c r="E1" s="4"/>
    </row>
    <row r="2" spans="1:12" x14ac:dyDescent="0.3">
      <c r="A2" s="3" t="s">
        <v>21</v>
      </c>
      <c r="B2" s="3"/>
      <c r="C2" s="3"/>
      <c r="D2" s="3"/>
      <c r="E2" s="3"/>
    </row>
    <row r="4" spans="1:12" x14ac:dyDescent="0.3">
      <c r="A4" s="11" t="s">
        <v>22</v>
      </c>
      <c r="B4" s="12" t="s">
        <v>23</v>
      </c>
    </row>
    <row r="5" spans="1:12" x14ac:dyDescent="0.3">
      <c r="A5" s="11" t="s">
        <v>24</v>
      </c>
      <c r="B5" s="12" t="s">
        <v>25</v>
      </c>
    </row>
    <row r="6" spans="1:12" x14ac:dyDescent="0.3">
      <c r="A6" s="11" t="s">
        <v>26</v>
      </c>
      <c r="B6" s="12" t="s">
        <v>92</v>
      </c>
    </row>
    <row r="8" spans="1:12" ht="33.75" customHeight="1" x14ac:dyDescent="0.3">
      <c r="A8" s="5" t="s">
        <v>27</v>
      </c>
      <c r="B8" s="5" t="s">
        <v>28</v>
      </c>
      <c r="C8" s="5" t="s">
        <v>29</v>
      </c>
      <c r="D8" s="5" t="s">
        <v>30</v>
      </c>
      <c r="E8" s="5" t="s">
        <v>31</v>
      </c>
      <c r="F8" s="5" t="s">
        <v>32</v>
      </c>
      <c r="G8" s="5" t="s">
        <v>33</v>
      </c>
      <c r="H8" s="5" t="s">
        <v>34</v>
      </c>
      <c r="I8" s="5" t="s">
        <v>35</v>
      </c>
      <c r="J8" s="5" t="s">
        <v>36</v>
      </c>
      <c r="K8" s="5" t="s">
        <v>37</v>
      </c>
      <c r="L8" s="5" t="s">
        <v>38</v>
      </c>
    </row>
    <row r="9" spans="1:12" ht="99.75" customHeight="1" x14ac:dyDescent="0.3">
      <c r="A9" s="13" t="s">
        <v>39</v>
      </c>
      <c r="B9" s="14" t="s">
        <v>40</v>
      </c>
      <c r="C9" s="14" t="s">
        <v>41</v>
      </c>
      <c r="D9" s="15" t="s">
        <v>4</v>
      </c>
      <c r="E9" s="15" t="s">
        <v>4</v>
      </c>
      <c r="F9" s="15" t="s">
        <v>4</v>
      </c>
      <c r="G9" s="15" t="s">
        <v>6</v>
      </c>
      <c r="H9" s="15">
        <f>INDEX('Scoring Reference'!$B$5:$B$7,MATCH(D9,'Scoring Reference'!$A$5:$A$7,0))+INDEX('Scoring Reference'!$B$5:$B$7,MATCH(E9,'Scoring Reference'!$A$5:$A$7,0))+INDEX('Scoring Reference'!$B$5:$B$7,MATCH(F9,'Scoring Reference'!$A$5:$A$7,0))+INDEX('Scoring Reference'!$B$5:$B$7,MATCH(G9,'Scoring Reference'!$A$5:$A$7,0))</f>
        <v>6</v>
      </c>
      <c r="I9" s="15" t="str">
        <f>IF(H9&lt;=6,"Low",IF(H9&lt;=9,"Medium","High"))</f>
        <v>Low</v>
      </c>
      <c r="J9" s="16" t="s">
        <v>4</v>
      </c>
      <c r="K9" s="17" t="s">
        <v>42</v>
      </c>
      <c r="L9" s="14" t="s">
        <v>43</v>
      </c>
    </row>
    <row r="10" spans="1:12" ht="99.75" customHeight="1" x14ac:dyDescent="0.3">
      <c r="A10" s="18" t="s">
        <v>44</v>
      </c>
      <c r="B10" s="19" t="s">
        <v>45</v>
      </c>
      <c r="C10" s="19" t="s">
        <v>46</v>
      </c>
      <c r="D10" s="20" t="s">
        <v>4</v>
      </c>
      <c r="E10" s="20" t="s">
        <v>4</v>
      </c>
      <c r="F10" s="20" t="s">
        <v>4</v>
      </c>
      <c r="G10" s="20" t="s">
        <v>6</v>
      </c>
      <c r="H10" s="20">
        <f>INDEX('Scoring Reference'!$B$5:$B$7,MATCH(D10,'Scoring Reference'!$A$5:$A$7,0))+INDEX('Scoring Reference'!$B$5:$B$7,MATCH(E10,'Scoring Reference'!$A$5:$A$7,0))+INDEX('Scoring Reference'!$B$5:$B$7,MATCH(F10,'Scoring Reference'!$A$5:$A$7,0))+INDEX('Scoring Reference'!$B$5:$B$7,MATCH(G10,'Scoring Reference'!$A$5:$A$7,0))</f>
        <v>6</v>
      </c>
      <c r="I10" s="20" t="str">
        <f>IF(H10&lt;=6,"Low",IF(H10&lt;=9,"Medium","High"))</f>
        <v>Low</v>
      </c>
      <c r="J10" s="21" t="s">
        <v>4</v>
      </c>
      <c r="K10" s="22" t="s">
        <v>42</v>
      </c>
      <c r="L10" s="19" t="s">
        <v>47</v>
      </c>
    </row>
    <row r="11" spans="1:12" ht="108" customHeight="1" x14ac:dyDescent="0.3">
      <c r="A11" s="13" t="s">
        <v>48</v>
      </c>
      <c r="B11" s="14" t="s">
        <v>49</v>
      </c>
      <c r="C11" s="14" t="s">
        <v>50</v>
      </c>
      <c r="D11" s="15" t="s">
        <v>5</v>
      </c>
      <c r="E11" s="15" t="s">
        <v>5</v>
      </c>
      <c r="F11" s="15" t="s">
        <v>4</v>
      </c>
      <c r="G11" s="15" t="s">
        <v>6</v>
      </c>
      <c r="H11" s="15">
        <f>INDEX('Scoring Reference'!$B$5:$B$7,MATCH(D11,'Scoring Reference'!$A$5:$A$7,0))+INDEX('Scoring Reference'!$B$5:$B$7,MATCH(E11,'Scoring Reference'!$A$5:$A$7,0))+INDEX('Scoring Reference'!$B$5:$B$7,MATCH(F11,'Scoring Reference'!$A$5:$A$7,0))+INDEX('Scoring Reference'!$B$5:$B$7,MATCH(G11,'Scoring Reference'!$A$5:$A$7,0))</f>
        <v>8</v>
      </c>
      <c r="I11" s="15" t="str">
        <f>IF(H11&lt;=6,"Low",IF(H11&lt;=9,"Medium","High"))</f>
        <v>Medium</v>
      </c>
      <c r="J11" s="23" t="s">
        <v>5</v>
      </c>
      <c r="K11" s="17" t="s">
        <v>42</v>
      </c>
      <c r="L11" s="14" t="s">
        <v>51</v>
      </c>
    </row>
    <row r="12" spans="1:12" ht="162" customHeight="1" x14ac:dyDescent="0.3">
      <c r="A12" s="18" t="s">
        <v>52</v>
      </c>
      <c r="B12" s="19" t="s">
        <v>53</v>
      </c>
      <c r="C12" s="19" t="s">
        <v>54</v>
      </c>
      <c r="D12" s="20" t="s">
        <v>5</v>
      </c>
      <c r="E12" s="20" t="s">
        <v>4</v>
      </c>
      <c r="F12" s="20" t="s">
        <v>4</v>
      </c>
      <c r="G12" s="20" t="s">
        <v>5</v>
      </c>
      <c r="H12" s="20">
        <f>INDEX('Scoring Reference'!$B$5:$B$7,MATCH(D12,'Scoring Reference'!$A$5:$A$7,0))+INDEX('Scoring Reference'!$B$5:$B$7,MATCH(E12,'Scoring Reference'!$A$5:$A$7,0))+INDEX('Scoring Reference'!$B$5:$B$7,MATCH(F12,'Scoring Reference'!$A$5:$A$7,0))+INDEX('Scoring Reference'!$B$5:$B$7,MATCH(G12,'Scoring Reference'!$A$5:$A$7,0))</f>
        <v>6</v>
      </c>
      <c r="I12" s="20" t="str">
        <f>IF(H12&lt;=6,"Low",IF(H12&lt;=9,"Medium","High"))</f>
        <v>Low</v>
      </c>
      <c r="J12" s="24" t="s">
        <v>6</v>
      </c>
      <c r="K12" s="25" t="s">
        <v>55</v>
      </c>
      <c r="L12" s="19" t="s">
        <v>56</v>
      </c>
    </row>
    <row r="13" spans="1:12" ht="144" customHeight="1" x14ac:dyDescent="0.3">
      <c r="A13" s="13" t="s">
        <v>57</v>
      </c>
      <c r="B13" s="14" t="s">
        <v>58</v>
      </c>
      <c r="C13" s="14" t="s">
        <v>59</v>
      </c>
      <c r="D13" s="15" t="s">
        <v>6</v>
      </c>
      <c r="E13" s="15" t="s">
        <v>6</v>
      </c>
      <c r="F13" s="15" t="s">
        <v>4</v>
      </c>
      <c r="G13" s="15" t="s">
        <v>6</v>
      </c>
      <c r="H13" s="15">
        <f>INDEX('Scoring Reference'!$B$5:$B$7,MATCH(D13,'Scoring Reference'!$A$5:$A$7,0))+INDEX('Scoring Reference'!$B$5:$B$7,MATCH(E13,'Scoring Reference'!$A$5:$A$7,0))+INDEX('Scoring Reference'!$B$5:$B$7,MATCH(F13,'Scoring Reference'!$A$5:$A$7,0))+INDEX('Scoring Reference'!$B$5:$B$7,MATCH(G13,'Scoring Reference'!$A$5:$A$7,0))</f>
        <v>10</v>
      </c>
      <c r="I13" s="15" t="str">
        <f>IF(H13&lt;=6,"Low",IF(H13&lt;=9,"Medium","High"))</f>
        <v>High</v>
      </c>
      <c r="J13" s="26" t="s">
        <v>6</v>
      </c>
      <c r="K13" s="17" t="s">
        <v>42</v>
      </c>
      <c r="L13" s="14" t="s">
        <v>60</v>
      </c>
    </row>
    <row r="15" spans="1:12" x14ac:dyDescent="0.3">
      <c r="A15" s="11" t="s">
        <v>61</v>
      </c>
    </row>
    <row r="16" spans="1:12" x14ac:dyDescent="0.3">
      <c r="A16" s="1" t="s">
        <v>62</v>
      </c>
      <c r="B16" s="1"/>
      <c r="C16" s="1"/>
      <c r="D16" s="27">
        <f>COUNTIF(J9:J13,"Low")</f>
        <v>2</v>
      </c>
    </row>
    <row r="17" spans="1:12" x14ac:dyDescent="0.3">
      <c r="A17" s="1" t="s">
        <v>63</v>
      </c>
      <c r="B17" s="1"/>
      <c r="C17" s="1"/>
      <c r="D17" s="28">
        <f>COUNTIF(J9:J13,"Medium")</f>
        <v>1</v>
      </c>
    </row>
    <row r="18" spans="1:12" x14ac:dyDescent="0.3">
      <c r="A18" s="1" t="s">
        <v>64</v>
      </c>
      <c r="B18" s="1"/>
      <c r="C18" s="1"/>
      <c r="D18" s="29">
        <f>COUNTIF(J9:J13,"High")</f>
        <v>2</v>
      </c>
    </row>
    <row r="20" spans="1:12" ht="15" customHeight="1" x14ac:dyDescent="0.3">
      <c r="A20" s="2" t="s">
        <v>65</v>
      </c>
      <c r="B20" s="2"/>
      <c r="C20" s="2"/>
      <c r="D20" s="2"/>
      <c r="E20" s="2"/>
      <c r="F20" s="2"/>
      <c r="G20" s="2"/>
      <c r="H20" s="2"/>
      <c r="I20" s="2"/>
      <c r="J20" s="2"/>
      <c r="K20" s="2"/>
      <c r="L20" s="2"/>
    </row>
    <row r="21" spans="1:12" x14ac:dyDescent="0.3">
      <c r="A21" s="2"/>
      <c r="B21" s="2"/>
      <c r="C21" s="2"/>
      <c r="D21" s="2"/>
      <c r="E21" s="2"/>
      <c r="F21" s="2"/>
      <c r="G21" s="2"/>
      <c r="H21" s="2"/>
      <c r="I21" s="2"/>
      <c r="J21" s="2"/>
      <c r="K21" s="2"/>
      <c r="L21" s="2"/>
    </row>
    <row r="22" spans="1:12" x14ac:dyDescent="0.3">
      <c r="A22" s="2"/>
      <c r="B22" s="2"/>
      <c r="C22" s="2"/>
      <c r="D22" s="2"/>
      <c r="E22" s="2"/>
      <c r="F22" s="2"/>
      <c r="G22" s="2"/>
      <c r="H22" s="2"/>
      <c r="I22" s="2"/>
      <c r="J22" s="2"/>
      <c r="K22" s="2"/>
      <c r="L22" s="2"/>
    </row>
    <row r="23" spans="1:12" x14ac:dyDescent="0.3">
      <c r="A23" s="2"/>
      <c r="B23" s="2"/>
      <c r="C23" s="2"/>
      <c r="D23" s="2"/>
      <c r="E23" s="2"/>
      <c r="F23" s="2"/>
      <c r="G23" s="2"/>
      <c r="H23" s="2"/>
      <c r="I23" s="2"/>
      <c r="J23" s="2"/>
      <c r="K23" s="2"/>
      <c r="L23" s="2"/>
    </row>
  </sheetData>
  <mergeCells count="6">
    <mergeCell ref="A20:L23"/>
    <mergeCell ref="A1:E1"/>
    <mergeCell ref="A2:E2"/>
    <mergeCell ref="A16:C16"/>
    <mergeCell ref="A17:C17"/>
    <mergeCell ref="A18:C18"/>
  </mergeCells>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
  <sheetViews>
    <sheetView showGridLines="0" zoomScaleNormal="100" workbookViewId="0">
      <selection activeCell="C7" sqref="C7"/>
    </sheetView>
  </sheetViews>
  <sheetFormatPr defaultColWidth="8.6640625" defaultRowHeight="14.4" x14ac:dyDescent="0.3"/>
  <cols>
    <col min="1" max="2" width="20" customWidth="1"/>
    <col min="3" max="3" width="40" customWidth="1"/>
  </cols>
  <sheetData>
    <row r="1" spans="1:3" ht="21" x14ac:dyDescent="0.4">
      <c r="A1" s="4" t="s">
        <v>0</v>
      </c>
      <c r="B1" s="4"/>
      <c r="C1" s="4"/>
    </row>
    <row r="2" spans="1:3" x14ac:dyDescent="0.3">
      <c r="A2" s="3" t="s">
        <v>1</v>
      </c>
      <c r="B2" s="3"/>
      <c r="C2" s="3"/>
    </row>
    <row r="4" spans="1:3" x14ac:dyDescent="0.3">
      <c r="A4" s="5" t="s">
        <v>2</v>
      </c>
      <c r="B4" s="5" t="s">
        <v>3</v>
      </c>
    </row>
    <row r="5" spans="1:3" x14ac:dyDescent="0.3">
      <c r="A5" s="6" t="s">
        <v>4</v>
      </c>
      <c r="B5" s="7">
        <v>1</v>
      </c>
    </row>
    <row r="6" spans="1:3" x14ac:dyDescent="0.3">
      <c r="A6" s="6" t="s">
        <v>5</v>
      </c>
      <c r="B6" s="7">
        <v>2</v>
      </c>
    </row>
    <row r="7" spans="1:3" x14ac:dyDescent="0.3">
      <c r="A7" s="6" t="s">
        <v>6</v>
      </c>
      <c r="B7" s="7">
        <v>3</v>
      </c>
    </row>
    <row r="9" spans="1:3" x14ac:dyDescent="0.3">
      <c r="A9" s="5" t="s">
        <v>7</v>
      </c>
      <c r="B9" s="5" t="s">
        <v>8</v>
      </c>
    </row>
    <row r="10" spans="1:3" x14ac:dyDescent="0.3">
      <c r="A10" s="7" t="s">
        <v>9</v>
      </c>
      <c r="B10" s="8" t="s">
        <v>4</v>
      </c>
    </row>
    <row r="11" spans="1:3" x14ac:dyDescent="0.3">
      <c r="A11" s="7" t="s">
        <v>10</v>
      </c>
      <c r="B11" s="9" t="s">
        <v>5</v>
      </c>
    </row>
    <row r="12" spans="1:3" x14ac:dyDescent="0.3">
      <c r="A12" s="7" t="s">
        <v>11</v>
      </c>
      <c r="B12" s="10" t="s">
        <v>6</v>
      </c>
    </row>
    <row r="14" spans="1:3" x14ac:dyDescent="0.3">
      <c r="A14" s="11" t="s">
        <v>12</v>
      </c>
    </row>
    <row r="15" spans="1:3" ht="90" customHeight="1" x14ac:dyDescent="0.3">
      <c r="A15" s="30" t="s">
        <v>13</v>
      </c>
      <c r="B15" s="30"/>
      <c r="C15" s="30"/>
    </row>
    <row r="16" spans="1:3" x14ac:dyDescent="0.3">
      <c r="A16" s="30"/>
      <c r="B16" s="30"/>
      <c r="C16" s="30"/>
    </row>
    <row r="17" spans="1:3" x14ac:dyDescent="0.3">
      <c r="A17" s="30"/>
      <c r="B17" s="30"/>
      <c r="C17" s="30"/>
    </row>
    <row r="18" spans="1:3" x14ac:dyDescent="0.3">
      <c r="A18" s="12"/>
      <c r="B18" s="12"/>
      <c r="C18" s="12"/>
    </row>
    <row r="19" spans="1:3" x14ac:dyDescent="0.3">
      <c r="A19" s="11" t="s">
        <v>14</v>
      </c>
      <c r="B19" s="12"/>
      <c r="C19" s="12"/>
    </row>
    <row r="20" spans="1:3" ht="90" customHeight="1" x14ac:dyDescent="0.3">
      <c r="A20" s="30" t="s">
        <v>15</v>
      </c>
      <c r="B20" s="30"/>
      <c r="C20" s="30"/>
    </row>
    <row r="21" spans="1:3" x14ac:dyDescent="0.3">
      <c r="A21" s="30"/>
      <c r="B21" s="30"/>
      <c r="C21" s="30"/>
    </row>
    <row r="22" spans="1:3" x14ac:dyDescent="0.3">
      <c r="A22" s="30"/>
      <c r="B22" s="30"/>
      <c r="C22" s="30"/>
    </row>
    <row r="23" spans="1:3" x14ac:dyDescent="0.3">
      <c r="A23" s="12"/>
      <c r="B23" s="12"/>
      <c r="C23" s="12"/>
    </row>
    <row r="24" spans="1:3" x14ac:dyDescent="0.3">
      <c r="A24" s="11" t="s">
        <v>16</v>
      </c>
      <c r="B24" s="12"/>
      <c r="C24" s="12"/>
    </row>
    <row r="25" spans="1:3" ht="90" customHeight="1" x14ac:dyDescent="0.3">
      <c r="A25" s="30" t="s">
        <v>17</v>
      </c>
      <c r="B25" s="30"/>
      <c r="C25" s="30"/>
    </row>
    <row r="26" spans="1:3" x14ac:dyDescent="0.3">
      <c r="A26" s="30"/>
      <c r="B26" s="30"/>
      <c r="C26" s="30"/>
    </row>
    <row r="27" spans="1:3" x14ac:dyDescent="0.3">
      <c r="A27" s="30"/>
      <c r="B27" s="30"/>
      <c r="C27" s="30"/>
    </row>
    <row r="28" spans="1:3" x14ac:dyDescent="0.3">
      <c r="A28" s="12"/>
      <c r="B28" s="12"/>
      <c r="C28" s="12"/>
    </row>
    <row r="29" spans="1:3" x14ac:dyDescent="0.3">
      <c r="A29" s="11" t="s">
        <v>18</v>
      </c>
      <c r="B29" s="12"/>
      <c r="C29" s="12"/>
    </row>
    <row r="30" spans="1:3" ht="75" customHeight="1" x14ac:dyDescent="0.3">
      <c r="A30" s="30" t="s">
        <v>19</v>
      </c>
      <c r="B30" s="30"/>
      <c r="C30" s="30"/>
    </row>
    <row r="31" spans="1:3" x14ac:dyDescent="0.3">
      <c r="A31" s="30"/>
      <c r="B31" s="30"/>
      <c r="C31" s="30"/>
    </row>
    <row r="32" spans="1:3" x14ac:dyDescent="0.3">
      <c r="A32" s="30"/>
      <c r="B32" s="30"/>
      <c r="C32" s="30"/>
    </row>
    <row r="33" spans="1:3" x14ac:dyDescent="0.3">
      <c r="A33" s="12"/>
      <c r="B33" s="12"/>
      <c r="C33" s="12"/>
    </row>
    <row r="34" spans="1:3" x14ac:dyDescent="0.3">
      <c r="A34" s="12"/>
      <c r="B34" s="12"/>
      <c r="C34" s="12"/>
    </row>
  </sheetData>
  <mergeCells count="6">
    <mergeCell ref="A30:C32"/>
    <mergeCell ref="A1:C1"/>
    <mergeCell ref="A2:C2"/>
    <mergeCell ref="A15:C17"/>
    <mergeCell ref="A20:C22"/>
    <mergeCell ref="A25:C27"/>
  </mergeCell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13"/>
  <sheetViews>
    <sheetView showGridLines="0" zoomScaleNormal="100" workbookViewId="0">
      <selection activeCell="C19" sqref="C19"/>
    </sheetView>
  </sheetViews>
  <sheetFormatPr defaultColWidth="8.6640625" defaultRowHeight="14.4" x14ac:dyDescent="0.3"/>
  <cols>
    <col min="1" max="1" width="6" customWidth="1"/>
    <col min="2" max="3" width="34" customWidth="1"/>
    <col min="4" max="4" width="50" customWidth="1"/>
  </cols>
  <sheetData>
    <row r="1" spans="1:4" ht="21" x14ac:dyDescent="0.4">
      <c r="A1" s="4" t="s">
        <v>66</v>
      </c>
      <c r="B1" s="4"/>
      <c r="C1" s="4"/>
      <c r="D1" s="4"/>
    </row>
    <row r="2" spans="1:4" x14ac:dyDescent="0.3">
      <c r="A2" s="3" t="s">
        <v>67</v>
      </c>
      <c r="B2" s="3"/>
      <c r="C2" s="3"/>
      <c r="D2" s="3"/>
    </row>
    <row r="4" spans="1:4" ht="21.75" customHeight="1" x14ac:dyDescent="0.3">
      <c r="A4" s="5" t="s">
        <v>68</v>
      </c>
      <c r="B4" s="5" t="s">
        <v>69</v>
      </c>
      <c r="C4" s="5" t="s">
        <v>70</v>
      </c>
      <c r="D4" s="5" t="s">
        <v>71</v>
      </c>
    </row>
    <row r="5" spans="1:4" ht="79.5" customHeight="1" x14ac:dyDescent="0.3">
      <c r="A5" s="13" t="s">
        <v>72</v>
      </c>
      <c r="B5" s="14" t="s">
        <v>73</v>
      </c>
      <c r="C5" s="14" t="s">
        <v>74</v>
      </c>
      <c r="D5" s="14" t="s">
        <v>75</v>
      </c>
    </row>
    <row r="6" spans="1:4" ht="79.5" customHeight="1" x14ac:dyDescent="0.3">
      <c r="A6" s="18" t="s">
        <v>76</v>
      </c>
      <c r="B6" s="19" t="s">
        <v>77</v>
      </c>
      <c r="C6" s="19" t="s">
        <v>78</v>
      </c>
      <c r="D6" s="19" t="s">
        <v>79</v>
      </c>
    </row>
    <row r="7" spans="1:4" ht="79.5" customHeight="1" x14ac:dyDescent="0.3">
      <c r="A7" s="13" t="s">
        <v>80</v>
      </c>
      <c r="B7" s="14" t="s">
        <v>81</v>
      </c>
      <c r="C7" s="14" t="s">
        <v>82</v>
      </c>
      <c r="D7" s="14" t="s">
        <v>83</v>
      </c>
    </row>
    <row r="8" spans="1:4" ht="79.5" customHeight="1" x14ac:dyDescent="0.3">
      <c r="A8" s="18" t="s">
        <v>84</v>
      </c>
      <c r="B8" s="19" t="s">
        <v>85</v>
      </c>
      <c r="C8" s="19" t="s">
        <v>82</v>
      </c>
      <c r="D8" s="19" t="s">
        <v>86</v>
      </c>
    </row>
    <row r="9" spans="1:4" ht="79.5" customHeight="1" x14ac:dyDescent="0.3">
      <c r="A9" s="13" t="s">
        <v>87</v>
      </c>
      <c r="B9" s="14" t="s">
        <v>88</v>
      </c>
      <c r="C9" s="14" t="s">
        <v>89</v>
      </c>
      <c r="D9" s="14" t="s">
        <v>90</v>
      </c>
    </row>
    <row r="11" spans="1:4" ht="15" customHeight="1" x14ac:dyDescent="0.3">
      <c r="A11" s="2" t="s">
        <v>91</v>
      </c>
      <c r="B11" s="2"/>
      <c r="C11" s="2"/>
      <c r="D11" s="2"/>
    </row>
    <row r="12" spans="1:4" x14ac:dyDescent="0.3">
      <c r="A12" s="2"/>
      <c r="B12" s="2"/>
      <c r="C12" s="2"/>
      <c r="D12" s="2"/>
    </row>
    <row r="13" spans="1:4" x14ac:dyDescent="0.3">
      <c r="A13" s="2"/>
      <c r="B13" s="2"/>
      <c r="C13" s="2"/>
      <c r="D13" s="2"/>
    </row>
  </sheetData>
  <mergeCells count="3">
    <mergeCell ref="A1:D1"/>
    <mergeCell ref="A2:D2"/>
    <mergeCell ref="A11:D13"/>
  </mergeCells>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Alert Prioritization</vt:lpstr>
      <vt:lpstr>Scoring Reference</vt:lpstr>
      <vt:lpstr>Evidence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Amrita Pathak</cp:lastModifiedBy>
  <cp:revision>0</cp:revision>
  <dcterms:created xsi:type="dcterms:W3CDTF">2026-09-18T12:26:18Z</dcterms:created>
  <dcterms:modified xsi:type="dcterms:W3CDTF">2026-09-18T12:34:27Z</dcterms:modified>
  <dc:language>en-US</dc:language>
</cp:coreProperties>
</file>